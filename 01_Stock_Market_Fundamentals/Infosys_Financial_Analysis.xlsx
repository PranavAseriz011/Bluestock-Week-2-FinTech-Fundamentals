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ek-2-FinTech-Fundamentals\01_Stock_Market_Fundamentals\"/>
    </mc:Choice>
  </mc:AlternateContent>
  <xr:revisionPtr revIDLastSave="0" documentId="13_ncr:1_{80DA0579-206E-45A0-B056-283F61FC953A}" xr6:coauthVersionLast="47" xr6:coauthVersionMax="47" xr10:uidLastSave="{00000000-0000-0000-0000-000000000000}"/>
  <bookViews>
    <workbookView xWindow="-108" yWindow="-108" windowWidth="23256" windowHeight="12456" activeTab="2" xr2:uid="{C4AC1595-23AA-4444-9C55-C872A7A908B8}"/>
  </bookViews>
  <sheets>
    <sheet name="Balance Sheet Analysis" sheetId="1" r:id="rId1"/>
    <sheet name="P&amp;L Analysis" sheetId="2" r:id="rId2"/>
    <sheet name="Cash Flow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2" i="3"/>
  <c r="D5" i="3"/>
  <c r="D6" i="3"/>
  <c r="D7" i="3"/>
  <c r="D3" i="3"/>
  <c r="D4" i="3"/>
  <c r="D2" i="3"/>
  <c r="K4" i="2"/>
  <c r="J3" i="2"/>
  <c r="I4" i="2"/>
  <c r="H3" i="2"/>
  <c r="G4" i="2"/>
  <c r="F3" i="2"/>
  <c r="E2" i="2"/>
  <c r="E4" i="2"/>
  <c r="E3" i="2"/>
  <c r="G10" i="1"/>
  <c r="G8" i="1"/>
</calcChain>
</file>

<file path=xl/sharedStrings.xml><?xml version="1.0" encoding="utf-8"?>
<sst xmlns="http://schemas.openxmlformats.org/spreadsheetml/2006/main" count="41" uniqueCount="38">
  <si>
    <t>Particulars</t>
  </si>
  <si>
    <t>FY 2025–26</t>
  </si>
  <si>
    <t>FY 2024–25</t>
  </si>
  <si>
    <t>FY 2023–24</t>
  </si>
  <si>
    <t>Cash and Cash Equivalents</t>
  </si>
  <si>
    <t>Current Investments</t>
  </si>
  <si>
    <t>Net Current Assets</t>
  </si>
  <si>
    <t>Non-current Assets</t>
  </si>
  <si>
    <t>Total Assets</t>
  </si>
  <si>
    <t>Non-current Liabilities</t>
  </si>
  <si>
    <t>Total Equity</t>
  </si>
  <si>
    <t>Infosys Consolidated Balance Sheet Analysis (₹ Crore).</t>
  </si>
  <si>
    <r>
      <t>YoY Growth (%)</t>
    </r>
    <r>
      <rPr>
        <b/>
        <sz val="11"/>
        <color theme="1"/>
        <rFont val="Aptos Narrow"/>
        <family val="2"/>
        <scheme val="minor"/>
      </rPr>
      <t>.</t>
    </r>
  </si>
  <si>
    <t>Particulars (₹ Crore)</t>
  </si>
  <si>
    <t>YoY Growth (%)</t>
  </si>
  <si>
    <t>Revenue</t>
  </si>
  <si>
    <t>Operating Profit</t>
  </si>
  <si>
    <t>Net Profit</t>
  </si>
  <si>
    <t>Operating Margin FY26(%)</t>
  </si>
  <si>
    <t>Net Margin  FY26 (%)</t>
  </si>
  <si>
    <t>Operating Margin FY25 (%)</t>
  </si>
  <si>
    <t>Net Margin FY25 (%)</t>
  </si>
  <si>
    <t>Operating Margin FY24 (%)</t>
  </si>
  <si>
    <t>Net Margin FY24 (%)</t>
  </si>
  <si>
    <t>Profit &amp; Loss Analysis</t>
  </si>
  <si>
    <t>Cell / Column A — Particulars</t>
  </si>
  <si>
    <t>Column B — FY2025–26</t>
  </si>
  <si>
    <t>Column C — FY2024–25</t>
  </si>
  <si>
    <t>Net cash generated from operating activities</t>
  </si>
  <si>
    <t>Net cash generated / (used in) investing activities</t>
  </si>
  <si>
    <t>Net cash used in financing activities</t>
  </si>
  <si>
    <t>Net increase / (decrease) in cash and cash equivalents</t>
  </si>
  <si>
    <t>Cash and cash equivalents at beginning of period</t>
  </si>
  <si>
    <t>Cash and cash equivalents at end of period</t>
  </si>
  <si>
    <t>YoY Change (%)</t>
  </si>
  <si>
    <t>Operating Cash Flow Change (%)</t>
  </si>
  <si>
    <t xml:space="preserve">      Closing Cash Change (%)</t>
  </si>
  <si>
    <t>Cash Flow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</si>
</sst>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Bahnschrift"/>
      <family val="2"/>
    </font>
    <font>
      <b/>
      <sz val="10"/>
      <color theme="1"/>
      <name val="Arial Unicode MS"/>
    </font>
    <font>
      <sz val="22"/>
      <color theme="1"/>
      <name val="Arial Rounded MT Bold"/>
      <family val="2"/>
    </font>
    <font>
      <b/>
      <sz val="2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horizontal="right" vertical="center" wrapText="1"/>
    </xf>
    <xf numFmtId="0" fontId="3" fillId="2" borderId="0" xfId="0" applyFont="1" applyFill="1"/>
    <xf numFmtId="0" fontId="5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/>
    <xf numFmtId="0" fontId="1" fillId="2" borderId="1" xfId="0" applyNumberFormat="1" applyFont="1" applyFill="1" applyBorder="1" applyAlignment="1">
      <alignment vertical="center"/>
    </xf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1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 vertical="center" indent="1"/>
    </xf>
    <xf numFmtId="0" fontId="6" fillId="6" borderId="0" xfId="0" applyFont="1" applyFill="1"/>
    <xf numFmtId="0" fontId="0" fillId="6" borderId="0" xfId="0" applyFill="1"/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vertical="center"/>
    </xf>
    <xf numFmtId="3" fontId="0" fillId="8" borderId="1" xfId="0" applyNumberFormat="1" applyFill="1" applyBorder="1" applyAlignment="1">
      <alignment horizontal="right" vertical="center" wrapText="1"/>
    </xf>
    <xf numFmtId="0" fontId="0" fillId="8" borderId="1" xfId="0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33D1-2A42-4403-9681-9CB849C90680}">
  <dimension ref="A1:K10"/>
  <sheetViews>
    <sheetView workbookViewId="0">
      <selection activeCell="J4" sqref="J4"/>
    </sheetView>
  </sheetViews>
  <sheetFormatPr defaultRowHeight="14.4"/>
  <cols>
    <col min="1" max="1" width="16.109375" bestFit="1" customWidth="1"/>
    <col min="2" max="2" width="10.109375" bestFit="1" customWidth="1"/>
    <col min="3" max="3" width="19" bestFit="1" customWidth="1"/>
    <col min="4" max="6" width="10.109375" bestFit="1" customWidth="1"/>
    <col min="7" max="7" width="14.88671875" bestFit="1" customWidth="1"/>
  </cols>
  <sheetData>
    <row r="1" spans="1:11">
      <c r="E1" s="1"/>
      <c r="F1" s="2"/>
      <c r="G1" s="2"/>
    </row>
    <row r="2" spans="1:11" ht="29.4">
      <c r="A2" s="6" t="s">
        <v>11</v>
      </c>
      <c r="B2" s="3"/>
      <c r="C2" s="3"/>
      <c r="D2" s="3"/>
      <c r="E2" s="4"/>
      <c r="F2" s="5"/>
      <c r="G2" s="5"/>
      <c r="H2" s="3"/>
      <c r="I2" s="3"/>
      <c r="J2" s="3"/>
      <c r="K2" s="17"/>
    </row>
    <row r="3" spans="1:11" ht="22.8" customHeight="1">
      <c r="C3" s="8" t="s">
        <v>0</v>
      </c>
      <c r="D3" s="9" t="s">
        <v>1</v>
      </c>
      <c r="E3" s="9" t="s">
        <v>2</v>
      </c>
      <c r="F3" s="9" t="s">
        <v>3</v>
      </c>
      <c r="G3" s="10" t="s">
        <v>12</v>
      </c>
    </row>
    <row r="4" spans="1:11" ht="43.2">
      <c r="C4" s="11" t="s">
        <v>4</v>
      </c>
      <c r="D4" s="12">
        <v>22201</v>
      </c>
      <c r="E4" s="12">
        <v>24455</v>
      </c>
      <c r="F4" s="12">
        <v>14786</v>
      </c>
      <c r="G4" s="12"/>
    </row>
    <row r="5" spans="1:11" ht="43.2">
      <c r="C5" s="11" t="s">
        <v>5</v>
      </c>
      <c r="D5" s="12">
        <v>12950</v>
      </c>
      <c r="E5" s="12">
        <v>12482</v>
      </c>
      <c r="F5" s="12">
        <v>12915</v>
      </c>
      <c r="G5" s="12"/>
    </row>
    <row r="6" spans="1:11" ht="43.2">
      <c r="C6" s="11" t="s">
        <v>6</v>
      </c>
      <c r="D6" s="12">
        <v>51167</v>
      </c>
      <c r="E6" s="12">
        <v>54249</v>
      </c>
      <c r="F6" s="12">
        <v>50638</v>
      </c>
      <c r="G6" s="12"/>
    </row>
    <row r="7" spans="1:11" ht="43.2">
      <c r="C7" s="11" t="s">
        <v>7</v>
      </c>
      <c r="D7" s="12">
        <v>52478</v>
      </c>
      <c r="E7" s="12">
        <v>51804</v>
      </c>
      <c r="F7" s="12">
        <v>48382</v>
      </c>
      <c r="G7" s="12"/>
    </row>
    <row r="8" spans="1:11">
      <c r="C8" s="13" t="s">
        <v>8</v>
      </c>
      <c r="D8" s="12">
        <v>155967</v>
      </c>
      <c r="E8" s="12">
        <v>148903</v>
      </c>
      <c r="F8" s="12">
        <v>137814</v>
      </c>
      <c r="G8" s="14">
        <f>((D8-E8)/E8)*100</f>
        <v>4.744027991376937</v>
      </c>
    </row>
    <row r="9" spans="1:11" ht="43.2">
      <c r="C9" s="11" t="s">
        <v>9</v>
      </c>
      <c r="D9" s="12">
        <v>10348</v>
      </c>
      <c r="E9" s="12">
        <v>9850</v>
      </c>
      <c r="F9" s="12">
        <v>10559</v>
      </c>
      <c r="G9" s="15"/>
    </row>
    <row r="10" spans="1:11">
      <c r="C10" s="13" t="s">
        <v>10</v>
      </c>
      <c r="D10" s="12">
        <v>93297</v>
      </c>
      <c r="E10" s="12">
        <v>96203</v>
      </c>
      <c r="F10" s="12">
        <v>88461</v>
      </c>
      <c r="G10" s="16">
        <f>((D10-E10)/E10)*100</f>
        <v>-3.0206958202966643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FBF8-364F-4BD7-822E-46FA0F0AEA26}">
  <dimension ref="A1:K6"/>
  <sheetViews>
    <sheetView workbookViewId="0">
      <selection activeCell="I21" sqref="I21"/>
    </sheetView>
  </sheetViews>
  <sheetFormatPr defaultRowHeight="14.4"/>
  <cols>
    <col min="1" max="1" width="15.6640625" customWidth="1"/>
    <col min="5" max="5" width="13.44140625" customWidth="1"/>
    <col min="6" max="6" width="22" customWidth="1"/>
    <col min="7" max="7" width="17.109375" customWidth="1"/>
    <col min="8" max="8" width="24.77734375" customWidth="1"/>
    <col min="9" max="9" width="17.5546875" customWidth="1"/>
    <col min="10" max="10" width="24.21875" customWidth="1"/>
    <col min="11" max="11" width="17.6640625" customWidth="1"/>
  </cols>
  <sheetData>
    <row r="1" spans="1:11" ht="43.2" customHeight="1">
      <c r="A1" s="18" t="s">
        <v>13</v>
      </c>
      <c r="B1" s="19" t="s">
        <v>1</v>
      </c>
      <c r="C1" s="19" t="s">
        <v>2</v>
      </c>
      <c r="D1" s="19" t="s">
        <v>3</v>
      </c>
      <c r="E1" s="19" t="s">
        <v>14</v>
      </c>
      <c r="F1" s="20" t="s">
        <v>18</v>
      </c>
      <c r="G1" s="20" t="s">
        <v>19</v>
      </c>
      <c r="H1" s="21" t="s">
        <v>20</v>
      </c>
      <c r="I1" s="20" t="s">
        <v>21</v>
      </c>
      <c r="J1" s="20" t="s">
        <v>22</v>
      </c>
      <c r="K1" s="20" t="s">
        <v>23</v>
      </c>
    </row>
    <row r="2" spans="1:11">
      <c r="A2" s="11" t="s">
        <v>15</v>
      </c>
      <c r="B2" s="22">
        <v>178650</v>
      </c>
      <c r="C2" s="22">
        <v>162990</v>
      </c>
      <c r="D2" s="22">
        <v>153670</v>
      </c>
      <c r="E2" s="22">
        <f>((B2-C2)/C2)*100</f>
        <v>9.6079514080618456</v>
      </c>
      <c r="F2" s="15"/>
      <c r="G2" s="15"/>
      <c r="H2" s="11"/>
      <c r="I2" s="15"/>
      <c r="J2" s="15"/>
      <c r="K2" s="15"/>
    </row>
    <row r="3" spans="1:11" ht="24" customHeight="1">
      <c r="A3" s="13" t="s">
        <v>16</v>
      </c>
      <c r="B3" s="22">
        <v>36254</v>
      </c>
      <c r="C3" s="22">
        <v>34424</v>
      </c>
      <c r="D3" s="22">
        <v>31747</v>
      </c>
      <c r="E3" s="22">
        <f>((B3-C3)/C3)*100</f>
        <v>5.3160585637927031</v>
      </c>
      <c r="F3" s="23">
        <f>B3/B2*100</f>
        <v>20.293310943184999</v>
      </c>
      <c r="G3" s="15"/>
      <c r="H3" s="24">
        <f>C3/C2*100</f>
        <v>21.12031412970121</v>
      </c>
      <c r="I3" s="15"/>
      <c r="J3" s="24">
        <f>D3/D2*100</f>
        <v>20.659204789483958</v>
      </c>
      <c r="K3" s="15"/>
    </row>
    <row r="4" spans="1:11" ht="28.2" customHeight="1">
      <c r="A4" s="13" t="s">
        <v>17</v>
      </c>
      <c r="B4" s="22">
        <v>29474</v>
      </c>
      <c r="C4" s="22">
        <v>26750</v>
      </c>
      <c r="D4" s="22">
        <v>26248</v>
      </c>
      <c r="E4" s="22">
        <f>((B4-C4)/C4)*100</f>
        <v>10.183177570093457</v>
      </c>
      <c r="F4" s="15"/>
      <c r="G4" s="23">
        <f>B4/B2*100</f>
        <v>16.498180800447805</v>
      </c>
      <c r="H4" s="15"/>
      <c r="I4" s="25">
        <f>C4/C2*100</f>
        <v>16.412049819007301</v>
      </c>
      <c r="J4" s="15"/>
      <c r="K4" s="23">
        <f>D4/D2*100</f>
        <v>17.08075746730006</v>
      </c>
    </row>
    <row r="6" spans="1:11" ht="27.6">
      <c r="E6" s="7" t="s">
        <v>24</v>
      </c>
      <c r="F6" s="3"/>
      <c r="G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4CEF-5FF1-4353-87ED-E46153E85281}">
  <dimension ref="A1:E9"/>
  <sheetViews>
    <sheetView tabSelected="1" workbookViewId="0">
      <selection activeCell="I3" sqref="I3"/>
    </sheetView>
  </sheetViews>
  <sheetFormatPr defaultRowHeight="14.4"/>
  <cols>
    <col min="1" max="1" width="16.77734375" customWidth="1"/>
    <col min="2" max="2" width="18.21875" customWidth="1"/>
    <col min="3" max="3" width="14.88671875" customWidth="1"/>
    <col min="4" max="4" width="15.6640625" customWidth="1"/>
    <col min="5" max="5" width="27.88671875" customWidth="1"/>
  </cols>
  <sheetData>
    <row r="1" spans="1:5" ht="28.8">
      <c r="A1" s="28" t="s">
        <v>25</v>
      </c>
      <c r="B1" s="29" t="s">
        <v>26</v>
      </c>
      <c r="C1" s="29" t="s">
        <v>27</v>
      </c>
      <c r="D1" s="30" t="s">
        <v>34</v>
      </c>
      <c r="E1" s="30" t="s">
        <v>35</v>
      </c>
    </row>
    <row r="2" spans="1:5" ht="57.6">
      <c r="A2" s="35" t="s">
        <v>28</v>
      </c>
      <c r="B2" s="31">
        <v>33986</v>
      </c>
      <c r="C2" s="31">
        <v>35694</v>
      </c>
      <c r="D2" s="34">
        <f>((B2-C2)/ABS(C2))*100</f>
        <v>-4.7851179469938927</v>
      </c>
      <c r="E2" s="33">
        <f>((B2-C2)/C2)*100</f>
        <v>-4.7851179469938927</v>
      </c>
    </row>
    <row r="3" spans="1:5" ht="57.6">
      <c r="A3" s="35" t="s">
        <v>29</v>
      </c>
      <c r="B3" s="31">
        <v>1946</v>
      </c>
      <c r="C3" s="31">
        <v>-1946</v>
      </c>
      <c r="D3" s="34">
        <f t="shared" ref="D3:D7" si="0">((B3-C3)/ABS(C3))*100</f>
        <v>200</v>
      </c>
      <c r="E3" s="30" t="s">
        <v>36</v>
      </c>
    </row>
    <row r="4" spans="1:5" ht="28.8">
      <c r="A4" s="35" t="s">
        <v>30</v>
      </c>
      <c r="B4" s="31">
        <v>-39786</v>
      </c>
      <c r="C4" s="31">
        <v>-24161</v>
      </c>
      <c r="D4" s="34">
        <f t="shared" si="0"/>
        <v>-64.67033649269483</v>
      </c>
      <c r="E4" s="33">
        <f>((B7-C7)/C7)*100</f>
        <v>-9.2169290533633212</v>
      </c>
    </row>
    <row r="5" spans="1:5" ht="57.6">
      <c r="A5" s="35" t="s">
        <v>31</v>
      </c>
      <c r="B5" s="31">
        <v>-3854</v>
      </c>
      <c r="C5" s="31">
        <v>9587</v>
      </c>
      <c r="D5" s="34">
        <f>((B5-C5)/ABS(C5))*100</f>
        <v>-140.20027120058413</v>
      </c>
      <c r="E5" s="32"/>
    </row>
    <row r="6" spans="1:5" ht="43.2">
      <c r="A6" s="35" t="s">
        <v>32</v>
      </c>
      <c r="B6" s="31">
        <v>24455</v>
      </c>
      <c r="C6" s="31">
        <v>14786</v>
      </c>
      <c r="D6" s="34">
        <f t="shared" si="0"/>
        <v>65.392939266874066</v>
      </c>
      <c r="E6" s="32"/>
    </row>
    <row r="7" spans="1:5" ht="43.2">
      <c r="A7" s="35" t="s">
        <v>33</v>
      </c>
      <c r="B7" s="31">
        <v>22201</v>
      </c>
      <c r="C7" s="31">
        <v>24455</v>
      </c>
      <c r="D7" s="34">
        <f t="shared" si="0"/>
        <v>-9.2169290533633212</v>
      </c>
      <c r="E7" s="32"/>
    </row>
    <row r="9" spans="1:5" ht="28.8">
      <c r="D9" s="26" t="s">
        <v>37</v>
      </c>
      <c r="E9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 Analysis</vt:lpstr>
      <vt:lpstr>P&amp;L Analysis</vt:lpstr>
      <vt:lpstr>Cash Flow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Aseri</dc:creator>
  <cp:lastModifiedBy>Pranav Aseri</cp:lastModifiedBy>
  <dcterms:created xsi:type="dcterms:W3CDTF">2026-10-16T13:27:45Z</dcterms:created>
  <dcterms:modified xsi:type="dcterms:W3CDTF">2026-10-16T16:39:05Z</dcterms:modified>
</cp:coreProperties>
</file>